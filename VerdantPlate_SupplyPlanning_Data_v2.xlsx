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Customer_Orders" sheetId="2" state="visible" r:id="rId4"/>
    <sheet name="Recipe_BOM" sheetId="3" state="visible" r:id="rId5"/>
    <sheet name="Ingredients" sheetId="4" state="visible" r:id="rId6"/>
    <sheet name="Suppliers" sheetId="5" state="visible" r:id="rId7"/>
    <sheet name="Production_Capac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<sst xmlns="http://schemas.openxmlformats.org/spreadsheetml/2006/main" count="353" uniqueCount="185">
  <si>
    <t xml:space="preserve">Finished Goods — Products</t>
  </si>
  <si>
    <t xml:space="preserve">SKU</t>
  </si>
  <si>
    <t xml:space="preserve">Product Name</t>
  </si>
  <si>
    <t xml:space="preserve">Category</t>
  </si>
  <si>
    <t xml:space="preserve">Unit Price ($)</t>
  </si>
  <si>
    <t xml:space="preserve">Finished Stock (units)</t>
  </si>
  <si>
    <t xml:space="preserve">Safety Stock (units)</t>
  </si>
  <si>
    <t xml:space="preserve">Weekly Production Target (units)</t>
  </si>
  <si>
    <t xml:space="preserve">VP-100</t>
  </si>
  <si>
    <t xml:space="preserve">Plant Lasagna (frozen)</t>
  </si>
  <si>
    <t xml:space="preserve">Frozen Meals</t>
  </si>
  <si>
    <t xml:space="preserve">VP-110</t>
  </si>
  <si>
    <t xml:space="preserve">Veggie Stir-Fry Bowl (frozen)</t>
  </si>
  <si>
    <t xml:space="preserve">VP-200</t>
  </si>
  <si>
    <t xml:space="preserve">Cashew Alfredo Sauce</t>
  </si>
  <si>
    <t xml:space="preserve">Sauces &amp; Spreads</t>
  </si>
  <si>
    <t xml:space="preserve">VP-210</t>
  </si>
  <si>
    <t xml:space="preserve">Smoky Chipotle Spread</t>
  </si>
  <si>
    <t xml:space="preserve">VP-300</t>
  </si>
  <si>
    <t xml:space="preserve">Oat Protein Bar</t>
  </si>
  <si>
    <t xml:space="preserve">Snacks &amp; Bars</t>
  </si>
  <si>
    <t xml:space="preserve">VP-310</t>
  </si>
  <si>
    <t xml:space="preserve">Almond Cacao Bar</t>
  </si>
  <si>
    <t xml:space="preserve">Open Customer Orders (planning week of 15 Jun 2026)</t>
  </si>
  <si>
    <t xml:space="preserve">Order ID</t>
  </si>
  <si>
    <t xml:space="preserve">Customer</t>
  </si>
  <si>
    <t xml:space="preserve">Product SKU</t>
  </si>
  <si>
    <t xml:space="preserve">Qty</t>
  </si>
  <si>
    <t xml:space="preserve">Order Date</t>
  </si>
  <si>
    <t xml:space="preserve">Requested Ship Date</t>
  </si>
  <si>
    <t xml:space="preserve">Priority</t>
  </si>
  <si>
    <t xml:space="preserve">Status</t>
  </si>
  <si>
    <t xml:space="preserve">ORD-2001</t>
  </si>
  <si>
    <t xml:space="preserve">FreshCart Grocery</t>
  </si>
  <si>
    <t xml:space="preserve">2026-05-28</t>
  </si>
  <si>
    <t xml:space="preserve">2026-06-16</t>
  </si>
  <si>
    <t xml:space="preserve">High</t>
  </si>
  <si>
    <t xml:space="preserve">Open</t>
  </si>
  <si>
    <t xml:space="preserve">ORD-2002</t>
  </si>
  <si>
    <t xml:space="preserve">GreenLeaf Markets</t>
  </si>
  <si>
    <t xml:space="preserve">2026-05-30</t>
  </si>
  <si>
    <t xml:space="preserve">2026-06-17</t>
  </si>
  <si>
    <t xml:space="preserve">Medium</t>
  </si>
  <si>
    <t xml:space="preserve">ORD-2003</t>
  </si>
  <si>
    <t xml:space="preserve">NourishCo Food Service</t>
  </si>
  <si>
    <t xml:space="preserve">2026-06-01</t>
  </si>
  <si>
    <t xml:space="preserve">2026-06-18</t>
  </si>
  <si>
    <t xml:space="preserve">ORD-2004</t>
  </si>
  <si>
    <t xml:space="preserve">2026-06-02</t>
  </si>
  <si>
    <t xml:space="preserve">2026-06-19</t>
  </si>
  <si>
    <t xml:space="preserve">ORD-2005</t>
  </si>
  <si>
    <t xml:space="preserve">PlantBased Online</t>
  </si>
  <si>
    <t xml:space="preserve">2026-06-20</t>
  </si>
  <si>
    <t xml:space="preserve">Low</t>
  </si>
  <si>
    <t xml:space="preserve">ORD-2006</t>
  </si>
  <si>
    <t xml:space="preserve">ValueGrocer</t>
  </si>
  <si>
    <t xml:space="preserve">2026-06-03</t>
  </si>
  <si>
    <t xml:space="preserve">ORD-2007</t>
  </si>
  <si>
    <t xml:space="preserve">MegaGrocer (rush)</t>
  </si>
  <si>
    <t xml:space="preserve">2026-06-04</t>
  </si>
  <si>
    <t xml:space="preserve">ORD-2008</t>
  </si>
  <si>
    <t xml:space="preserve">2026-06-22</t>
  </si>
  <si>
    <t xml:space="preserve">ORD-2009</t>
  </si>
  <si>
    <t xml:space="preserve">2026-06-05</t>
  </si>
  <si>
    <t xml:space="preserve">ORD-2010</t>
  </si>
  <si>
    <t xml:space="preserve">2026-06-23</t>
  </si>
  <si>
    <t xml:space="preserve">ORD-2011</t>
  </si>
  <si>
    <t xml:space="preserve">ORD-2012</t>
  </si>
  <si>
    <t xml:space="preserve">2026-06-06</t>
  </si>
  <si>
    <t xml:space="preserve">2026-06-24</t>
  </si>
  <si>
    <t xml:space="preserve">Total VP-100 demand:</t>
  </si>
  <si>
    <t xml:space="preserve">Recipe / Bill of Materials (ingredient &amp; packaging per finished unit)</t>
  </si>
  <si>
    <t xml:space="preserve">Ingredient ID</t>
  </si>
  <si>
    <t xml:space="preserve">Ingredient Name</t>
  </si>
  <si>
    <t xml:space="preserve">Qty per Unit</t>
  </si>
  <si>
    <t xml:space="preserve">ING-PEA</t>
  </si>
  <si>
    <t xml:space="preserve">Pea protein isolate</t>
  </si>
  <si>
    <t xml:space="preserve">ING-CASH</t>
  </si>
  <si>
    <t xml:space="preserve">Cashew cream (refrigerated)</t>
  </si>
  <si>
    <t xml:space="preserve">ING-TOM</t>
  </si>
  <si>
    <t xml:space="preserve">Tomato base</t>
  </si>
  <si>
    <t xml:space="preserve">PKG-MEAL</t>
  </si>
  <si>
    <t xml:space="preserve">Frozen meal tray + film</t>
  </si>
  <si>
    <t xml:space="preserve">ING-VEG</t>
  </si>
  <si>
    <t xml:space="preserve">Mixed vegetables (frozen)</t>
  </si>
  <si>
    <t xml:space="preserve">ING-OAT</t>
  </si>
  <si>
    <t xml:space="preserve">Oat base</t>
  </si>
  <si>
    <t xml:space="preserve">PKG-JAR</t>
  </si>
  <si>
    <t xml:space="preserve">Sauce jar + lid</t>
  </si>
  <si>
    <t xml:space="preserve">ING-SPICE</t>
  </si>
  <si>
    <t xml:space="preserve">Chipotle spice blend</t>
  </si>
  <si>
    <t xml:space="preserve">PKG-WRAP</t>
  </si>
  <si>
    <t xml:space="preserve">Bar wrapper</t>
  </si>
  <si>
    <t xml:space="preserve">ING-ALM</t>
  </si>
  <si>
    <t xml:space="preserve">Almonds</t>
  </si>
  <si>
    <t xml:space="preserve">Ingredient &amp; Packaging Inventory (with shelf life)</t>
  </si>
  <si>
    <t xml:space="preserve">Name</t>
  </si>
  <si>
    <t xml:space="preserve">On-Hand</t>
  </si>
  <si>
    <t xml:space="preserve">Safety Stock</t>
  </si>
  <si>
    <t xml:space="preserve">Below Safety?</t>
  </si>
  <si>
    <t xml:space="preserve">Unit Cost ($)</t>
  </si>
  <si>
    <t xml:space="preserve">Primary Supplier</t>
  </si>
  <si>
    <t xml:space="preserve">Lead Time (days)</t>
  </si>
  <si>
    <t xml:space="preserve">Perishable?</t>
  </si>
  <si>
    <t xml:space="preserve">Received</t>
  </si>
  <si>
    <t xml:space="preserve">Expires</t>
  </si>
  <si>
    <t xml:space="preserve">SUP-01</t>
  </si>
  <si>
    <t xml:space="preserve">No</t>
  </si>
  <si>
    <t xml:space="preserve">2026-05-20</t>
  </si>
  <si>
    <t xml:space="preserve">2027-05-20</t>
  </si>
  <si>
    <t xml:space="preserve">SUP-03</t>
  </si>
  <si>
    <t xml:space="preserve">Yes</t>
  </si>
  <si>
    <t xml:space="preserve">2026-06-08</t>
  </si>
  <si>
    <t xml:space="preserve">2026-06-15</t>
  </si>
  <si>
    <t xml:space="preserve">SUP-02</t>
  </si>
  <si>
    <t xml:space="preserve">2026-11-30</t>
  </si>
  <si>
    <t xml:space="preserve">SUP-04</t>
  </si>
  <si>
    <t xml:space="preserve">2026-05-25</t>
  </si>
  <si>
    <t xml:space="preserve">2026-12-25</t>
  </si>
  <si>
    <t xml:space="preserve">SUP-05</t>
  </si>
  <si>
    <t xml:space="preserve">2026-05-18</t>
  </si>
  <si>
    <t xml:space="preserve">2027-05-18</t>
  </si>
  <si>
    <t xml:space="preserve">SUP-06</t>
  </si>
  <si>
    <t xml:space="preserve">2026-05-10</t>
  </si>
  <si>
    <t xml:space="preserve">2027-05-10</t>
  </si>
  <si>
    <t xml:space="preserve">SUP-07</t>
  </si>
  <si>
    <t xml:space="preserve">2026-05-22</t>
  </si>
  <si>
    <t xml:space="preserve">2027-02-22</t>
  </si>
  <si>
    <t xml:space="preserve">SUP-08</t>
  </si>
  <si>
    <t xml:space="preserve">2026-05-15</t>
  </si>
  <si>
    <t xml:space="preserve">—</t>
  </si>
  <si>
    <t xml:space="preserve">Supplier Status &amp; Open Purchase Orders</t>
  </si>
  <si>
    <t xml:space="preserve">Supplier ID</t>
  </si>
  <si>
    <t xml:space="preserve">Supplier Name</t>
  </si>
  <si>
    <t xml:space="preserve">Ingredient(s)</t>
  </si>
  <si>
    <t xml:space="preserve">Region</t>
  </si>
  <si>
    <t xml:space="preserve">On-Time %</t>
  </si>
  <si>
    <t xml:space="preserve">Open PO Qty</t>
  </si>
  <si>
    <t xml:space="preserve">Original PO Date</t>
  </si>
  <si>
    <t xml:space="preserve">Revised ETA</t>
  </si>
  <si>
    <t xml:space="preserve">GreenField Proteins</t>
  </si>
  <si>
    <t xml:space="preserve">Overseas</t>
  </si>
  <si>
    <t xml:space="preserve">83%</t>
  </si>
  <si>
    <t xml:space="preserve">2026-06-12</t>
  </si>
  <si>
    <t xml:space="preserve">DELAYED</t>
  </si>
  <si>
    <t xml:space="preserve">Prairie Mills</t>
  </si>
  <si>
    <t xml:space="preserve">Domestic</t>
  </si>
  <si>
    <t xml:space="preserve">97%</t>
  </si>
  <si>
    <t xml:space="preserve">2026-06-13</t>
  </si>
  <si>
    <t xml:space="preserve">On Time</t>
  </si>
  <si>
    <t xml:space="preserve">CoastNut Dairy-Free</t>
  </si>
  <si>
    <t xml:space="preserve">95%</t>
  </si>
  <si>
    <t xml:space="preserve">RedVine Foods</t>
  </si>
  <si>
    <t xml:space="preserve">90%</t>
  </si>
  <si>
    <t xml:space="preserve">Minor Delay</t>
  </si>
  <si>
    <t xml:space="preserve">FrostFresh Produce</t>
  </si>
  <si>
    <t xml:space="preserve">96%</t>
  </si>
  <si>
    <t xml:space="preserve">2026-06-11</t>
  </si>
  <si>
    <t xml:space="preserve">SpiceWorks</t>
  </si>
  <si>
    <t xml:space="preserve">98%</t>
  </si>
  <si>
    <t xml:space="preserve">2026-06-10</t>
  </si>
  <si>
    <t xml:space="preserve">OrchardWay</t>
  </si>
  <si>
    <t xml:space="preserve">94%</t>
  </si>
  <si>
    <t xml:space="preserve">PackPlus</t>
  </si>
  <si>
    <t xml:space="preserve">PKG-MEAL, PKG-JAR, PKG-WRAP</t>
  </si>
  <si>
    <t xml:space="preserve">99%</t>
  </si>
  <si>
    <t xml:space="preserve">SUP-09</t>
  </si>
  <si>
    <t xml:space="preserve">NutriProtein (BACKUP)</t>
  </si>
  <si>
    <t xml:space="preserve">93%</t>
  </si>
  <si>
    <t xml:space="preserve">+3 days from order</t>
  </si>
  <si>
    <t xml:space="preserve">Available</t>
  </si>
  <si>
    <t xml:space="preserve">Backup note: NutriProtein (SUP-09) unit cost is $5.10 vs $4.20 from GreenField — ~21% premium per unit of pea protein.</t>
  </si>
  <si>
    <t xml:space="preserve">Production Capacity (planning week of 15 Jun 2026)</t>
  </si>
  <si>
    <t xml:space="preserve">Line</t>
  </si>
  <si>
    <t xml:space="preserve">Products Run</t>
  </si>
  <si>
    <t xml:space="preserve">Weekly Capacity (units)</t>
  </si>
  <si>
    <t xml:space="preserve">Scheduled Load (units)</t>
  </si>
  <si>
    <t xml:space="preserve">Utilization</t>
  </si>
  <si>
    <t xml:space="preserve">Spare Capacity (units)</t>
  </si>
  <si>
    <t xml:space="preserve">Line 1 — Frozen Meals</t>
  </si>
  <si>
    <t xml:space="preserve">VP-100, VP-110</t>
  </si>
  <si>
    <t xml:space="preserve">Line 2 — Sauces &amp; Spreads</t>
  </si>
  <si>
    <t xml:space="preserve">VP-200, VP-210</t>
  </si>
  <si>
    <t xml:space="preserve">Line 3 — Snacks &amp; Bars</t>
  </si>
  <si>
    <t xml:space="preserve">VP-300, VP-310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</si>
</sst>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4D3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6F4E"/>
        <bgColor rgb="FF1E4D34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4E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4D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28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true" outlineLevel="0" collapsed="false">
      <c r="A4" s="4" t="s">
        <v>8</v>
      </c>
      <c r="B4" s="4" t="s">
        <v>9</v>
      </c>
      <c r="C4" s="4" t="s">
        <v>10</v>
      </c>
      <c r="D4" s="4" t="n">
        <v>7.5</v>
      </c>
      <c r="E4" s="4" t="n">
        <v>280</v>
      </c>
      <c r="F4" s="4" t="n">
        <v>250</v>
      </c>
      <c r="G4" s="4" t="n">
        <v>600</v>
      </c>
    </row>
    <row r="5" customFormat="false" ht="15" hidden="false" customHeight="true" outlineLevel="0" collapsed="false">
      <c r="A5" s="4" t="s">
        <v>11</v>
      </c>
      <c r="B5" s="4" t="s">
        <v>12</v>
      </c>
      <c r="C5" s="4" t="s">
        <v>10</v>
      </c>
      <c r="D5" s="4" t="n">
        <v>6.5</v>
      </c>
      <c r="E5" s="4" t="n">
        <v>350</v>
      </c>
      <c r="F5" s="4" t="n">
        <v>200</v>
      </c>
      <c r="G5" s="4" t="n">
        <v>450</v>
      </c>
    </row>
    <row r="6" customFormat="false" ht="15" hidden="false" customHeight="true" outlineLevel="0" collapsed="false">
      <c r="A6" s="4" t="s">
        <v>13</v>
      </c>
      <c r="B6" s="4" t="s">
        <v>14</v>
      </c>
      <c r="C6" s="4" t="s">
        <v>15</v>
      </c>
      <c r="D6" s="4" t="n">
        <v>5</v>
      </c>
      <c r="E6" s="4" t="n">
        <v>220</v>
      </c>
      <c r="F6" s="4" t="n">
        <v>180</v>
      </c>
      <c r="G6" s="4" t="n">
        <v>400</v>
      </c>
    </row>
    <row r="7" customFormat="false" ht="15" hidden="false" customHeight="true" outlineLevel="0" collapsed="false">
      <c r="A7" s="4" t="s">
        <v>16</v>
      </c>
      <c r="B7" s="4" t="s">
        <v>17</v>
      </c>
      <c r="C7" s="4" t="s">
        <v>15</v>
      </c>
      <c r="D7" s="4" t="n">
        <v>4.5</v>
      </c>
      <c r="E7" s="4" t="n">
        <v>300</v>
      </c>
      <c r="F7" s="4" t="n">
        <v>150</v>
      </c>
      <c r="G7" s="4" t="n">
        <v>300</v>
      </c>
    </row>
    <row r="8" customFormat="false" ht="15" hidden="false" customHeight="true" outlineLevel="0" collapsed="false">
      <c r="A8" s="4" t="s">
        <v>18</v>
      </c>
      <c r="B8" s="4" t="s">
        <v>19</v>
      </c>
      <c r="C8" s="4" t="s">
        <v>20</v>
      </c>
      <c r="D8" s="4" t="n">
        <v>2.5</v>
      </c>
      <c r="E8" s="4" t="n">
        <v>900</v>
      </c>
      <c r="F8" s="4" t="n">
        <v>400</v>
      </c>
      <c r="G8" s="4" t="n">
        <v>900</v>
      </c>
    </row>
    <row r="9" customFormat="false" ht="15" hidden="false" customHeight="true" outlineLevel="0" collapsed="false">
      <c r="A9" s="4" t="s">
        <v>21</v>
      </c>
      <c r="B9" s="4" t="s">
        <v>22</v>
      </c>
      <c r="C9" s="4" t="s">
        <v>20</v>
      </c>
      <c r="D9" s="4" t="n">
        <v>2.75</v>
      </c>
      <c r="E9" s="4" t="n">
        <v>650</v>
      </c>
      <c r="F9" s="4" t="n">
        <v>350</v>
      </c>
      <c r="G9" s="4" t="n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4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11"/>
    <col collapsed="false" customWidth="true" hidden="false" outlineLevel="0" max="8" min="8" style="1" width="10"/>
  </cols>
  <sheetData>
    <row r="1" customFormat="false" ht="17.25" hidden="false" customHeight="true" outlineLevel="0" collapsed="false">
      <c r="A1" s="2" t="s">
        <v>23</v>
      </c>
    </row>
    <row r="3" customFormat="false" ht="15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customFormat="false" ht="15" hidden="false" customHeight="true" outlineLevel="0" collapsed="false">
      <c r="A4" s="4" t="s">
        <v>32</v>
      </c>
      <c r="B4" s="4" t="s">
        <v>33</v>
      </c>
      <c r="C4" s="4" t="s">
        <v>8</v>
      </c>
      <c r="D4" s="4" t="n">
        <v>250</v>
      </c>
      <c r="E4" s="4" t="s">
        <v>34</v>
      </c>
      <c r="F4" s="4" t="s">
        <v>35</v>
      </c>
      <c r="G4" s="5" t="s">
        <v>36</v>
      </c>
      <c r="H4" s="4" t="s">
        <v>37</v>
      </c>
    </row>
    <row r="5" customFormat="false" ht="15" hidden="false" customHeight="true" outlineLevel="0" collapsed="false">
      <c r="A5" s="4" t="s">
        <v>38</v>
      </c>
      <c r="B5" s="4" t="s">
        <v>39</v>
      </c>
      <c r="C5" s="4" t="s">
        <v>13</v>
      </c>
      <c r="D5" s="4" t="n">
        <v>180</v>
      </c>
      <c r="E5" s="4" t="s">
        <v>40</v>
      </c>
      <c r="F5" s="4" t="s">
        <v>41</v>
      </c>
      <c r="G5" s="4" t="s">
        <v>42</v>
      </c>
      <c r="H5" s="4" t="s">
        <v>37</v>
      </c>
    </row>
    <row r="6" customFormat="false" ht="15" hidden="false" customHeight="true" outlineLevel="0" collapsed="false">
      <c r="A6" s="4" t="s">
        <v>43</v>
      </c>
      <c r="B6" s="4" t="s">
        <v>44</v>
      </c>
      <c r="C6" s="4" t="s">
        <v>18</v>
      </c>
      <c r="D6" s="4" t="n">
        <v>400</v>
      </c>
      <c r="E6" s="4" t="s">
        <v>45</v>
      </c>
      <c r="F6" s="4" t="s">
        <v>46</v>
      </c>
      <c r="G6" s="4" t="s">
        <v>42</v>
      </c>
      <c r="H6" s="4" t="s">
        <v>37</v>
      </c>
    </row>
    <row r="7" customFormat="false" ht="15" hidden="false" customHeight="true" outlineLevel="0" collapsed="false">
      <c r="A7" s="4" t="s">
        <v>47</v>
      </c>
      <c r="B7" s="4" t="s">
        <v>33</v>
      </c>
      <c r="C7" s="4" t="s">
        <v>8</v>
      </c>
      <c r="D7" s="4" t="n">
        <v>200</v>
      </c>
      <c r="E7" s="4" t="s">
        <v>48</v>
      </c>
      <c r="F7" s="4" t="s">
        <v>49</v>
      </c>
      <c r="G7" s="5" t="s">
        <v>36</v>
      </c>
      <c r="H7" s="4" t="s">
        <v>37</v>
      </c>
    </row>
    <row r="8" customFormat="false" ht="15" hidden="false" customHeight="true" outlineLevel="0" collapsed="false">
      <c r="A8" s="4" t="s">
        <v>50</v>
      </c>
      <c r="B8" s="4" t="s">
        <v>51</v>
      </c>
      <c r="C8" s="4" t="s">
        <v>21</v>
      </c>
      <c r="D8" s="4" t="n">
        <v>300</v>
      </c>
      <c r="E8" s="4" t="s">
        <v>48</v>
      </c>
      <c r="F8" s="4" t="s">
        <v>52</v>
      </c>
      <c r="G8" s="4" t="s">
        <v>53</v>
      </c>
      <c r="H8" s="4" t="s">
        <v>37</v>
      </c>
    </row>
    <row r="9" customFormat="false" ht="15" hidden="false" customHeight="true" outlineLevel="0" collapsed="false">
      <c r="A9" s="4" t="s">
        <v>54</v>
      </c>
      <c r="B9" s="4" t="s">
        <v>55</v>
      </c>
      <c r="C9" s="4" t="s">
        <v>11</v>
      </c>
      <c r="D9" s="4" t="n">
        <v>220</v>
      </c>
      <c r="E9" s="4" t="s">
        <v>56</v>
      </c>
      <c r="F9" s="4" t="s">
        <v>35</v>
      </c>
      <c r="G9" s="4" t="s">
        <v>42</v>
      </c>
      <c r="H9" s="4" t="s">
        <v>37</v>
      </c>
    </row>
    <row r="10" customFormat="false" ht="15" hidden="false" customHeight="true" outlineLevel="0" collapsed="false">
      <c r="A10" s="6" t="s">
        <v>57</v>
      </c>
      <c r="B10" s="6" t="s">
        <v>58</v>
      </c>
      <c r="C10" s="6" t="s">
        <v>8</v>
      </c>
      <c r="D10" s="6" t="n">
        <v>400</v>
      </c>
      <c r="E10" s="6" t="s">
        <v>59</v>
      </c>
      <c r="F10" s="6" t="s">
        <v>41</v>
      </c>
      <c r="G10" s="7" t="s">
        <v>36</v>
      </c>
      <c r="H10" s="6" t="s">
        <v>37</v>
      </c>
    </row>
    <row r="11" customFormat="false" ht="15" hidden="false" customHeight="true" outlineLevel="0" collapsed="false">
      <c r="A11" s="4" t="s">
        <v>60</v>
      </c>
      <c r="B11" s="4" t="s">
        <v>44</v>
      </c>
      <c r="C11" s="4" t="s">
        <v>13</v>
      </c>
      <c r="D11" s="4" t="n">
        <v>150</v>
      </c>
      <c r="E11" s="4" t="s">
        <v>59</v>
      </c>
      <c r="F11" s="4" t="s">
        <v>61</v>
      </c>
      <c r="G11" s="4" t="s">
        <v>42</v>
      </c>
      <c r="H11" s="4" t="s">
        <v>37</v>
      </c>
    </row>
    <row r="12" customFormat="false" ht="15" hidden="false" customHeight="true" outlineLevel="0" collapsed="false">
      <c r="A12" s="4" t="s">
        <v>62</v>
      </c>
      <c r="B12" s="4" t="s">
        <v>39</v>
      </c>
      <c r="C12" s="4" t="s">
        <v>18</v>
      </c>
      <c r="D12" s="4" t="n">
        <v>350</v>
      </c>
      <c r="E12" s="4" t="s">
        <v>63</v>
      </c>
      <c r="F12" s="4" t="s">
        <v>49</v>
      </c>
      <c r="G12" s="4" t="s">
        <v>42</v>
      </c>
      <c r="H12" s="4" t="s">
        <v>37</v>
      </c>
    </row>
    <row r="13" customFormat="false" ht="15" hidden="false" customHeight="true" outlineLevel="0" collapsed="false">
      <c r="A13" s="4" t="s">
        <v>64</v>
      </c>
      <c r="B13" s="4" t="s">
        <v>51</v>
      </c>
      <c r="C13" s="4" t="s">
        <v>8</v>
      </c>
      <c r="D13" s="4" t="n">
        <v>150</v>
      </c>
      <c r="E13" s="4" t="s">
        <v>63</v>
      </c>
      <c r="F13" s="4" t="s">
        <v>65</v>
      </c>
      <c r="G13" s="4" t="s">
        <v>53</v>
      </c>
      <c r="H13" s="4" t="s">
        <v>37</v>
      </c>
    </row>
    <row r="14" customFormat="false" ht="15" hidden="false" customHeight="true" outlineLevel="0" collapsed="false">
      <c r="A14" s="4" t="s">
        <v>66</v>
      </c>
      <c r="B14" s="4" t="s">
        <v>55</v>
      </c>
      <c r="C14" s="4" t="s">
        <v>16</v>
      </c>
      <c r="D14" s="4" t="n">
        <v>200</v>
      </c>
      <c r="E14" s="4" t="s">
        <v>63</v>
      </c>
      <c r="F14" s="4" t="s">
        <v>46</v>
      </c>
      <c r="G14" s="4" t="s">
        <v>42</v>
      </c>
      <c r="H14" s="4" t="s">
        <v>37</v>
      </c>
    </row>
    <row r="15" customFormat="false" ht="15" hidden="false" customHeight="true" outlineLevel="0" collapsed="false">
      <c r="A15" s="4" t="s">
        <v>67</v>
      </c>
      <c r="B15" s="4" t="s">
        <v>33</v>
      </c>
      <c r="C15" s="4" t="s">
        <v>21</v>
      </c>
      <c r="D15" s="4" t="n">
        <v>250</v>
      </c>
      <c r="E15" s="4" t="s">
        <v>68</v>
      </c>
      <c r="F15" s="4" t="s">
        <v>69</v>
      </c>
      <c r="G15" s="4" t="s">
        <v>53</v>
      </c>
      <c r="H15" s="4" t="s">
        <v>37</v>
      </c>
    </row>
    <row r="17" customFormat="false" ht="15" hidden="false" customHeight="true" outlineLevel="0" collapsed="false">
      <c r="C17" s="8" t="s">
        <v>70</v>
      </c>
      <c r="D17" s="9" t="n">
        <f aca="false">SUMIF(C4:C15,"VP-100",D4:D15)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71</v>
      </c>
    </row>
    <row r="3" customFormat="false" ht="15" hidden="false" customHeight="true" outlineLevel="0" collapsed="false">
      <c r="A3" s="3" t="s">
        <v>26</v>
      </c>
      <c r="B3" s="3" t="s">
        <v>72</v>
      </c>
      <c r="C3" s="3" t="s">
        <v>73</v>
      </c>
      <c r="D3" s="3" t="s">
        <v>74</v>
      </c>
    </row>
    <row r="4" customFormat="false" ht="15" hidden="false" customHeight="true" outlineLevel="0" collapsed="false">
      <c r="A4" s="4" t="s">
        <v>8</v>
      </c>
      <c r="B4" s="4" t="s">
        <v>75</v>
      </c>
      <c r="C4" s="4" t="s">
        <v>76</v>
      </c>
      <c r="D4" s="4" t="n">
        <v>1</v>
      </c>
    </row>
    <row r="5" customFormat="false" ht="15" hidden="false" customHeight="true" outlineLevel="0" collapsed="false">
      <c r="A5" s="4" t="s">
        <v>8</v>
      </c>
      <c r="B5" s="4" t="s">
        <v>77</v>
      </c>
      <c r="C5" s="4" t="s">
        <v>78</v>
      </c>
      <c r="D5" s="4" t="n">
        <v>1</v>
      </c>
    </row>
    <row r="6" customFormat="false" ht="15" hidden="false" customHeight="true" outlineLevel="0" collapsed="false">
      <c r="A6" s="4" t="s">
        <v>8</v>
      </c>
      <c r="B6" s="4" t="s">
        <v>79</v>
      </c>
      <c r="C6" s="4" t="s">
        <v>80</v>
      </c>
      <c r="D6" s="4" t="n">
        <v>1</v>
      </c>
    </row>
    <row r="7" customFormat="false" ht="15" hidden="false" customHeight="true" outlineLevel="0" collapsed="false">
      <c r="A7" s="4" t="s">
        <v>8</v>
      </c>
      <c r="B7" s="4" t="s">
        <v>81</v>
      </c>
      <c r="C7" s="4" t="s">
        <v>82</v>
      </c>
      <c r="D7" s="4" t="n">
        <v>1</v>
      </c>
    </row>
    <row r="8" customFormat="false" ht="15" hidden="false" customHeight="true" outlineLevel="0" collapsed="false">
      <c r="A8" s="4" t="s">
        <v>11</v>
      </c>
      <c r="B8" s="4" t="s">
        <v>75</v>
      </c>
      <c r="C8" s="4" t="s">
        <v>76</v>
      </c>
      <c r="D8" s="4" t="n">
        <v>1</v>
      </c>
    </row>
    <row r="9" customFormat="false" ht="15" hidden="false" customHeight="true" outlineLevel="0" collapsed="false">
      <c r="A9" s="4" t="s">
        <v>11</v>
      </c>
      <c r="B9" s="4" t="s">
        <v>83</v>
      </c>
      <c r="C9" s="4" t="s">
        <v>84</v>
      </c>
      <c r="D9" s="4" t="n">
        <v>1</v>
      </c>
    </row>
    <row r="10" customFormat="false" ht="15" hidden="false" customHeight="true" outlineLevel="0" collapsed="false">
      <c r="A10" s="4" t="s">
        <v>11</v>
      </c>
      <c r="B10" s="4" t="s">
        <v>79</v>
      </c>
      <c r="C10" s="4" t="s">
        <v>80</v>
      </c>
      <c r="D10" s="4" t="n">
        <v>1</v>
      </c>
    </row>
    <row r="11" customFormat="false" ht="15" hidden="false" customHeight="true" outlineLevel="0" collapsed="false">
      <c r="A11" s="4" t="s">
        <v>11</v>
      </c>
      <c r="B11" s="4" t="s">
        <v>81</v>
      </c>
      <c r="C11" s="4" t="s">
        <v>82</v>
      </c>
      <c r="D11" s="4" t="n">
        <v>1</v>
      </c>
    </row>
    <row r="12" customFormat="false" ht="15" hidden="false" customHeight="true" outlineLevel="0" collapsed="false">
      <c r="A12" s="4" t="s">
        <v>13</v>
      </c>
      <c r="B12" s="4" t="s">
        <v>77</v>
      </c>
      <c r="C12" s="4" t="s">
        <v>78</v>
      </c>
      <c r="D12" s="4" t="n">
        <v>1</v>
      </c>
    </row>
    <row r="13" customFormat="false" ht="15" hidden="false" customHeight="true" outlineLevel="0" collapsed="false">
      <c r="A13" s="4" t="s">
        <v>13</v>
      </c>
      <c r="B13" s="4" t="s">
        <v>85</v>
      </c>
      <c r="C13" s="4" t="s">
        <v>86</v>
      </c>
      <c r="D13" s="4" t="n">
        <v>1</v>
      </c>
    </row>
    <row r="14" customFormat="false" ht="15" hidden="false" customHeight="true" outlineLevel="0" collapsed="false">
      <c r="A14" s="4" t="s">
        <v>13</v>
      </c>
      <c r="B14" s="4" t="s">
        <v>87</v>
      </c>
      <c r="C14" s="4" t="s">
        <v>88</v>
      </c>
      <c r="D14" s="4" t="n">
        <v>1</v>
      </c>
    </row>
    <row r="15" customFormat="false" ht="15" hidden="false" customHeight="true" outlineLevel="0" collapsed="false">
      <c r="A15" s="4" t="s">
        <v>16</v>
      </c>
      <c r="B15" s="4" t="s">
        <v>79</v>
      </c>
      <c r="C15" s="4" t="s">
        <v>80</v>
      </c>
      <c r="D15" s="4" t="n">
        <v>1</v>
      </c>
    </row>
    <row r="16" customFormat="false" ht="15" hidden="false" customHeight="true" outlineLevel="0" collapsed="false">
      <c r="A16" s="4" t="s">
        <v>16</v>
      </c>
      <c r="B16" s="4" t="s">
        <v>89</v>
      </c>
      <c r="C16" s="4" t="s">
        <v>90</v>
      </c>
      <c r="D16" s="4" t="n">
        <v>1</v>
      </c>
    </row>
    <row r="17" customFormat="false" ht="15" hidden="false" customHeight="true" outlineLevel="0" collapsed="false">
      <c r="A17" s="4" t="s">
        <v>16</v>
      </c>
      <c r="B17" s="4" t="s">
        <v>87</v>
      </c>
      <c r="C17" s="4" t="s">
        <v>88</v>
      </c>
      <c r="D17" s="4" t="n">
        <v>1</v>
      </c>
    </row>
    <row r="18" customFormat="false" ht="15" hidden="false" customHeight="true" outlineLevel="0" collapsed="false">
      <c r="A18" s="4" t="s">
        <v>18</v>
      </c>
      <c r="B18" s="4" t="s">
        <v>75</v>
      </c>
      <c r="C18" s="4" t="s">
        <v>76</v>
      </c>
      <c r="D18" s="4" t="n">
        <v>1</v>
      </c>
    </row>
    <row r="19" customFormat="false" ht="15" hidden="false" customHeight="true" outlineLevel="0" collapsed="false">
      <c r="A19" s="4" t="s">
        <v>18</v>
      </c>
      <c r="B19" s="4" t="s">
        <v>85</v>
      </c>
      <c r="C19" s="4" t="s">
        <v>86</v>
      </c>
      <c r="D19" s="4" t="n">
        <v>1</v>
      </c>
    </row>
    <row r="20" customFormat="false" ht="15" hidden="false" customHeight="true" outlineLevel="0" collapsed="false">
      <c r="A20" s="4" t="s">
        <v>18</v>
      </c>
      <c r="B20" s="4" t="s">
        <v>91</v>
      </c>
      <c r="C20" s="4" t="s">
        <v>92</v>
      </c>
      <c r="D20" s="4" t="n">
        <v>1</v>
      </c>
    </row>
    <row r="21" customFormat="false" ht="15" hidden="false" customHeight="true" outlineLevel="0" collapsed="false">
      <c r="A21" s="4" t="s">
        <v>21</v>
      </c>
      <c r="B21" s="4" t="s">
        <v>75</v>
      </c>
      <c r="C21" s="4" t="s">
        <v>76</v>
      </c>
      <c r="D21" s="4" t="n">
        <v>1</v>
      </c>
    </row>
    <row r="22" customFormat="false" ht="15" hidden="false" customHeight="true" outlineLevel="0" collapsed="false">
      <c r="A22" s="4" t="s">
        <v>21</v>
      </c>
      <c r="B22" s="4" t="s">
        <v>93</v>
      </c>
      <c r="C22" s="4" t="s">
        <v>94</v>
      </c>
      <c r="D22" s="4" t="n">
        <v>1</v>
      </c>
    </row>
    <row r="23" customFormat="false" ht="15" hidden="false" customHeight="true" outlineLevel="0" collapsed="false">
      <c r="A23" s="4" t="s">
        <v>21</v>
      </c>
      <c r="B23" s="4" t="s">
        <v>91</v>
      </c>
      <c r="C23" s="4" t="s">
        <v>92</v>
      </c>
      <c r="D23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6" min="4" style="1" width="13"/>
    <col collapsed="false" customWidth="true" hidden="false" outlineLevel="0" max="8" min="7" style="1" width="16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12"/>
  </cols>
  <sheetData>
    <row r="1" customFormat="false" ht="17.25" hidden="false" customHeight="true" outlineLevel="0" collapsed="false">
      <c r="A1" s="2" t="s">
        <v>95</v>
      </c>
    </row>
    <row r="3" customFormat="false" ht="15" hidden="false" customHeight="true" outlineLevel="0" collapsed="false">
      <c r="A3" s="3" t="s">
        <v>72</v>
      </c>
      <c r="B3" s="3" t="s">
        <v>96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101</v>
      </c>
      <c r="H3" s="3" t="s">
        <v>102</v>
      </c>
      <c r="I3" s="3" t="s">
        <v>103</v>
      </c>
      <c r="J3" s="3" t="s">
        <v>104</v>
      </c>
      <c r="K3" s="3" t="s">
        <v>105</v>
      </c>
    </row>
    <row r="4" customFormat="false" ht="15" hidden="false" customHeight="true" outlineLevel="0" collapsed="false">
      <c r="A4" s="10" t="s">
        <v>75</v>
      </c>
      <c r="B4" s="10" t="s">
        <v>76</v>
      </c>
      <c r="C4" s="10" t="n">
        <v>480</v>
      </c>
      <c r="D4" s="10" t="n">
        <v>700</v>
      </c>
      <c r="E4" s="10" t="str">
        <f aca="false">IF(C4&lt;D4,"YES","no")</f>
        <v>YES</v>
      </c>
      <c r="F4" s="10" t="n">
        <v>4.2</v>
      </c>
      <c r="G4" s="10" t="s">
        <v>106</v>
      </c>
      <c r="H4" s="10" t="n">
        <v>21</v>
      </c>
      <c r="I4" s="10" t="s">
        <v>107</v>
      </c>
      <c r="J4" s="10" t="s">
        <v>108</v>
      </c>
      <c r="K4" s="10" t="s">
        <v>109</v>
      </c>
    </row>
    <row r="5" customFormat="false" ht="15" hidden="false" customHeight="true" outlineLevel="0" collapsed="false">
      <c r="A5" s="11" t="s">
        <v>77</v>
      </c>
      <c r="B5" s="11" t="s">
        <v>78</v>
      </c>
      <c r="C5" s="11" t="n">
        <v>600</v>
      </c>
      <c r="D5" s="11" t="n">
        <v>300</v>
      </c>
      <c r="E5" s="11" t="str">
        <f aca="false">IF(C5&lt;D5,"YES","no")</f>
        <v>no</v>
      </c>
      <c r="F5" s="11" t="n">
        <v>2.8</v>
      </c>
      <c r="G5" s="11" t="s">
        <v>110</v>
      </c>
      <c r="H5" s="11" t="n">
        <v>4</v>
      </c>
      <c r="I5" s="11" t="s">
        <v>111</v>
      </c>
      <c r="J5" s="11" t="s">
        <v>112</v>
      </c>
      <c r="K5" s="11" t="s">
        <v>113</v>
      </c>
    </row>
    <row r="6" customFormat="false" ht="15" hidden="false" customHeight="true" outlineLevel="0" collapsed="false">
      <c r="A6" s="4" t="s">
        <v>85</v>
      </c>
      <c r="B6" s="4" t="s">
        <v>86</v>
      </c>
      <c r="C6" s="4" t="n">
        <v>1400</v>
      </c>
      <c r="D6" s="4" t="n">
        <v>600</v>
      </c>
      <c r="E6" s="4" t="str">
        <f aca="false">IF(C6&lt;D6,"YES","no")</f>
        <v>no</v>
      </c>
      <c r="F6" s="4" t="n">
        <v>1.1</v>
      </c>
      <c r="G6" s="4" t="s">
        <v>114</v>
      </c>
      <c r="H6" s="4" t="n">
        <v>7</v>
      </c>
      <c r="I6" s="4" t="s">
        <v>107</v>
      </c>
      <c r="J6" s="4" t="s">
        <v>40</v>
      </c>
      <c r="K6" s="4" t="s">
        <v>115</v>
      </c>
    </row>
    <row r="7" customFormat="false" ht="15" hidden="false" customHeight="true" outlineLevel="0" collapsed="false">
      <c r="A7" s="4" t="s">
        <v>79</v>
      </c>
      <c r="B7" s="4" t="s">
        <v>80</v>
      </c>
      <c r="C7" s="4" t="n">
        <v>1200</v>
      </c>
      <c r="D7" s="4" t="n">
        <v>500</v>
      </c>
      <c r="E7" s="4" t="str">
        <f aca="false">IF(C7&lt;D7,"YES","no")</f>
        <v>no</v>
      </c>
      <c r="F7" s="4" t="n">
        <v>0.9</v>
      </c>
      <c r="G7" s="4" t="s">
        <v>116</v>
      </c>
      <c r="H7" s="4" t="n">
        <v>9</v>
      </c>
      <c r="I7" s="4" t="s">
        <v>107</v>
      </c>
      <c r="J7" s="4" t="s">
        <v>117</v>
      </c>
      <c r="K7" s="4" t="s">
        <v>118</v>
      </c>
    </row>
    <row r="8" customFormat="false" ht="15" hidden="false" customHeight="true" outlineLevel="0" collapsed="false">
      <c r="A8" s="4" t="s">
        <v>83</v>
      </c>
      <c r="B8" s="4" t="s">
        <v>84</v>
      </c>
      <c r="C8" s="4" t="n">
        <v>900</v>
      </c>
      <c r="D8" s="4" t="n">
        <v>400</v>
      </c>
      <c r="E8" s="4" t="str">
        <f aca="false">IF(C8&lt;D8,"YES","no")</f>
        <v>no</v>
      </c>
      <c r="F8" s="4" t="n">
        <v>1.4</v>
      </c>
      <c r="G8" s="4" t="s">
        <v>119</v>
      </c>
      <c r="H8" s="4" t="n">
        <v>6</v>
      </c>
      <c r="I8" s="4" t="s">
        <v>107</v>
      </c>
      <c r="J8" s="4" t="s">
        <v>120</v>
      </c>
      <c r="K8" s="4" t="s">
        <v>121</v>
      </c>
    </row>
    <row r="9" customFormat="false" ht="15" hidden="false" customHeight="true" outlineLevel="0" collapsed="false">
      <c r="A9" s="4" t="s">
        <v>89</v>
      </c>
      <c r="B9" s="4" t="s">
        <v>90</v>
      </c>
      <c r="C9" s="4" t="n">
        <v>700</v>
      </c>
      <c r="D9" s="4" t="n">
        <v>250</v>
      </c>
      <c r="E9" s="4" t="str">
        <f aca="false">IF(C9&lt;D9,"YES","no")</f>
        <v>no</v>
      </c>
      <c r="F9" s="4" t="n">
        <v>0.6</v>
      </c>
      <c r="G9" s="4" t="s">
        <v>122</v>
      </c>
      <c r="H9" s="4" t="n">
        <v>5</v>
      </c>
      <c r="I9" s="4" t="s">
        <v>107</v>
      </c>
      <c r="J9" s="4" t="s">
        <v>123</v>
      </c>
      <c r="K9" s="4" t="s">
        <v>124</v>
      </c>
    </row>
    <row r="10" customFormat="false" ht="15" hidden="false" customHeight="true" outlineLevel="0" collapsed="false">
      <c r="A10" s="4" t="s">
        <v>93</v>
      </c>
      <c r="B10" s="4" t="s">
        <v>94</v>
      </c>
      <c r="C10" s="4" t="n">
        <v>800</v>
      </c>
      <c r="D10" s="4" t="n">
        <v>300</v>
      </c>
      <c r="E10" s="4" t="str">
        <f aca="false">IF(C10&lt;D10,"YES","no")</f>
        <v>no</v>
      </c>
      <c r="F10" s="4" t="n">
        <v>2.1</v>
      </c>
      <c r="G10" s="4" t="s">
        <v>125</v>
      </c>
      <c r="H10" s="4" t="n">
        <v>8</v>
      </c>
      <c r="I10" s="4" t="s">
        <v>107</v>
      </c>
      <c r="J10" s="4" t="s">
        <v>126</v>
      </c>
      <c r="K10" s="4" t="s">
        <v>127</v>
      </c>
    </row>
    <row r="11" customFormat="false" ht="15" hidden="false" customHeight="true" outlineLevel="0" collapsed="false">
      <c r="A11" s="4" t="s">
        <v>81</v>
      </c>
      <c r="B11" s="4" t="s">
        <v>82</v>
      </c>
      <c r="C11" s="4" t="n">
        <v>1500</v>
      </c>
      <c r="D11" s="4" t="n">
        <v>700</v>
      </c>
      <c r="E11" s="4" t="str">
        <f aca="false">IF(C11&lt;D11,"YES","no")</f>
        <v>no</v>
      </c>
      <c r="F11" s="4" t="n">
        <v>0.35</v>
      </c>
      <c r="G11" s="4" t="s">
        <v>128</v>
      </c>
      <c r="H11" s="4" t="n">
        <v>10</v>
      </c>
      <c r="I11" s="4" t="s">
        <v>107</v>
      </c>
      <c r="J11" s="4" t="s">
        <v>129</v>
      </c>
      <c r="K11" s="4" t="s">
        <v>130</v>
      </c>
    </row>
    <row r="12" customFormat="false" ht="15" hidden="false" customHeight="true" outlineLevel="0" collapsed="false">
      <c r="A12" s="4" t="s">
        <v>87</v>
      </c>
      <c r="B12" s="4" t="s">
        <v>88</v>
      </c>
      <c r="C12" s="4" t="n">
        <v>1100</v>
      </c>
      <c r="D12" s="4" t="n">
        <v>500</v>
      </c>
      <c r="E12" s="4" t="str">
        <f aca="false">IF(C12&lt;D12,"YES","no")</f>
        <v>no</v>
      </c>
      <c r="F12" s="4" t="n">
        <v>0.3</v>
      </c>
      <c r="G12" s="4" t="s">
        <v>128</v>
      </c>
      <c r="H12" s="4" t="n">
        <v>10</v>
      </c>
      <c r="I12" s="4" t="s">
        <v>107</v>
      </c>
      <c r="J12" s="4" t="s">
        <v>129</v>
      </c>
      <c r="K12" s="4" t="s">
        <v>130</v>
      </c>
    </row>
    <row r="13" customFormat="false" ht="15" hidden="false" customHeight="true" outlineLevel="0" collapsed="false">
      <c r="A13" s="4" t="s">
        <v>91</v>
      </c>
      <c r="B13" s="4" t="s">
        <v>92</v>
      </c>
      <c r="C13" s="4" t="n">
        <v>2200</v>
      </c>
      <c r="D13" s="4" t="n">
        <v>800</v>
      </c>
      <c r="E13" s="4" t="str">
        <f aca="false">IF(C13&lt;D13,"YES","no")</f>
        <v>no</v>
      </c>
      <c r="F13" s="4" t="n">
        <v>0.1</v>
      </c>
      <c r="G13" s="4" t="s">
        <v>128</v>
      </c>
      <c r="H13" s="4" t="n">
        <v>10</v>
      </c>
      <c r="I13" s="4" t="s">
        <v>107</v>
      </c>
      <c r="J13" s="4" t="s">
        <v>129</v>
      </c>
      <c r="K13" s="4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131</v>
      </c>
    </row>
    <row r="3" customFormat="false" ht="15" hidden="false" customHeight="true" outlineLevel="0" collapsed="false">
      <c r="A3" s="3" t="s">
        <v>132</v>
      </c>
      <c r="B3" s="3" t="s">
        <v>133</v>
      </c>
      <c r="C3" s="3" t="s">
        <v>134</v>
      </c>
      <c r="D3" s="3" t="s">
        <v>135</v>
      </c>
      <c r="E3" s="3" t="s">
        <v>136</v>
      </c>
      <c r="F3" s="3" t="s">
        <v>137</v>
      </c>
      <c r="G3" s="3" t="s">
        <v>138</v>
      </c>
      <c r="H3" s="3" t="s">
        <v>139</v>
      </c>
      <c r="I3" s="3" t="s">
        <v>31</v>
      </c>
    </row>
    <row r="4" customFormat="false" ht="15" hidden="false" customHeight="true" outlineLevel="0" collapsed="false">
      <c r="A4" s="6" t="s">
        <v>106</v>
      </c>
      <c r="B4" s="6" t="s">
        <v>140</v>
      </c>
      <c r="C4" s="6" t="s">
        <v>75</v>
      </c>
      <c r="D4" s="6" t="s">
        <v>141</v>
      </c>
      <c r="E4" s="6" t="s">
        <v>142</v>
      </c>
      <c r="F4" s="6" t="n">
        <v>900</v>
      </c>
      <c r="G4" s="6" t="s">
        <v>143</v>
      </c>
      <c r="H4" s="6" t="s">
        <v>69</v>
      </c>
      <c r="I4" s="12" t="s">
        <v>144</v>
      </c>
    </row>
    <row r="5" customFormat="false" ht="15" hidden="false" customHeight="true" outlineLevel="0" collapsed="false">
      <c r="A5" s="4" t="s">
        <v>114</v>
      </c>
      <c r="B5" s="4" t="s">
        <v>145</v>
      </c>
      <c r="C5" s="4" t="s">
        <v>85</v>
      </c>
      <c r="D5" s="4" t="s">
        <v>146</v>
      </c>
      <c r="E5" s="4" t="s">
        <v>147</v>
      </c>
      <c r="F5" s="4" t="n">
        <v>1000</v>
      </c>
      <c r="G5" s="4" t="s">
        <v>148</v>
      </c>
      <c r="H5" s="4" t="s">
        <v>148</v>
      </c>
      <c r="I5" s="13" t="s">
        <v>149</v>
      </c>
    </row>
    <row r="6" customFormat="false" ht="15" hidden="false" customHeight="true" outlineLevel="0" collapsed="false">
      <c r="A6" s="4" t="s">
        <v>110</v>
      </c>
      <c r="B6" s="4" t="s">
        <v>150</v>
      </c>
      <c r="C6" s="4" t="s">
        <v>77</v>
      </c>
      <c r="D6" s="4" t="s">
        <v>146</v>
      </c>
      <c r="E6" s="4" t="s">
        <v>151</v>
      </c>
      <c r="F6" s="4" t="n">
        <v>0</v>
      </c>
      <c r="G6" s="4" t="s">
        <v>130</v>
      </c>
      <c r="H6" s="4" t="s">
        <v>130</v>
      </c>
      <c r="I6" s="13" t="s">
        <v>149</v>
      </c>
    </row>
    <row r="7" customFormat="false" ht="15" hidden="false" customHeight="true" outlineLevel="0" collapsed="false">
      <c r="A7" s="4" t="s">
        <v>116</v>
      </c>
      <c r="B7" s="4" t="s">
        <v>152</v>
      </c>
      <c r="C7" s="4" t="s">
        <v>79</v>
      </c>
      <c r="D7" s="4" t="s">
        <v>146</v>
      </c>
      <c r="E7" s="4" t="s">
        <v>153</v>
      </c>
      <c r="F7" s="4" t="n">
        <v>800</v>
      </c>
      <c r="G7" s="4" t="s">
        <v>143</v>
      </c>
      <c r="H7" s="4" t="s">
        <v>113</v>
      </c>
      <c r="I7" s="7" t="s">
        <v>154</v>
      </c>
    </row>
    <row r="8" customFormat="false" ht="15" hidden="false" customHeight="true" outlineLevel="0" collapsed="false">
      <c r="A8" s="4" t="s">
        <v>119</v>
      </c>
      <c r="B8" s="4" t="s">
        <v>155</v>
      </c>
      <c r="C8" s="4" t="s">
        <v>83</v>
      </c>
      <c r="D8" s="4" t="s">
        <v>146</v>
      </c>
      <c r="E8" s="4" t="s">
        <v>156</v>
      </c>
      <c r="F8" s="4" t="n">
        <v>600</v>
      </c>
      <c r="G8" s="4" t="s">
        <v>157</v>
      </c>
      <c r="H8" s="4" t="s">
        <v>157</v>
      </c>
      <c r="I8" s="13" t="s">
        <v>149</v>
      </c>
    </row>
    <row r="9" customFormat="false" ht="15" hidden="false" customHeight="true" outlineLevel="0" collapsed="false">
      <c r="A9" s="4" t="s">
        <v>122</v>
      </c>
      <c r="B9" s="4" t="s">
        <v>158</v>
      </c>
      <c r="C9" s="4" t="s">
        <v>89</v>
      </c>
      <c r="D9" s="4" t="s">
        <v>146</v>
      </c>
      <c r="E9" s="4" t="s">
        <v>159</v>
      </c>
      <c r="F9" s="4" t="n">
        <v>400</v>
      </c>
      <c r="G9" s="4" t="s">
        <v>160</v>
      </c>
      <c r="H9" s="4" t="s">
        <v>160</v>
      </c>
      <c r="I9" s="13" t="s">
        <v>149</v>
      </c>
    </row>
    <row r="10" customFormat="false" ht="15" hidden="false" customHeight="true" outlineLevel="0" collapsed="false">
      <c r="A10" s="4" t="s">
        <v>125</v>
      </c>
      <c r="B10" s="4" t="s">
        <v>161</v>
      </c>
      <c r="C10" s="4" t="s">
        <v>93</v>
      </c>
      <c r="D10" s="4" t="s">
        <v>146</v>
      </c>
      <c r="E10" s="4" t="s">
        <v>162</v>
      </c>
      <c r="F10" s="4" t="n">
        <v>500</v>
      </c>
      <c r="G10" s="4" t="s">
        <v>143</v>
      </c>
      <c r="H10" s="4" t="s">
        <v>143</v>
      </c>
      <c r="I10" s="13" t="s">
        <v>149</v>
      </c>
    </row>
    <row r="11" customFormat="false" ht="15" hidden="false" customHeight="true" outlineLevel="0" collapsed="false">
      <c r="A11" s="4" t="s">
        <v>128</v>
      </c>
      <c r="B11" s="4" t="s">
        <v>163</v>
      </c>
      <c r="C11" s="4" t="s">
        <v>164</v>
      </c>
      <c r="D11" s="4" t="s">
        <v>146</v>
      </c>
      <c r="E11" s="4" t="s">
        <v>165</v>
      </c>
      <c r="F11" s="4" t="n">
        <v>2000</v>
      </c>
      <c r="G11" s="4" t="s">
        <v>160</v>
      </c>
      <c r="H11" s="4" t="s">
        <v>160</v>
      </c>
      <c r="I11" s="13" t="s">
        <v>149</v>
      </c>
    </row>
    <row r="12" customFormat="false" ht="15" hidden="false" customHeight="true" outlineLevel="0" collapsed="false">
      <c r="A12" s="4" t="s">
        <v>166</v>
      </c>
      <c r="B12" s="4" t="s">
        <v>167</v>
      </c>
      <c r="C12" s="4" t="s">
        <v>75</v>
      </c>
      <c r="D12" s="4" t="s">
        <v>146</v>
      </c>
      <c r="E12" s="4" t="s">
        <v>168</v>
      </c>
      <c r="F12" s="4" t="n">
        <v>0</v>
      </c>
      <c r="G12" s="4" t="s">
        <v>130</v>
      </c>
      <c r="H12" s="4" t="s">
        <v>169</v>
      </c>
      <c r="I12" s="13" t="s">
        <v>170</v>
      </c>
    </row>
    <row r="14" customFormat="false" ht="15" hidden="false" customHeight="true" outlineLevel="0" collapsed="false">
      <c r="A14" s="1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4" min="3" style="1" width="24"/>
    <col collapsed="false" customWidth="true" hidden="false" outlineLevel="0" max="5" min="5" style="1" width="14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2" t="s">
        <v>172</v>
      </c>
    </row>
    <row r="3" customFormat="false" ht="15" hidden="false" customHeight="true" outlineLevel="0" collapsed="false">
      <c r="A3" s="3" t="s">
        <v>173</v>
      </c>
      <c r="B3" s="3" t="s">
        <v>174</v>
      </c>
      <c r="C3" s="3" t="s">
        <v>175</v>
      </c>
      <c r="D3" s="3" t="s">
        <v>176</v>
      </c>
      <c r="E3" s="3" t="s">
        <v>177</v>
      </c>
      <c r="F3" s="3" t="s">
        <v>178</v>
      </c>
    </row>
    <row r="4" customFormat="false" ht="15" hidden="false" customHeight="true" outlineLevel="0" collapsed="false">
      <c r="A4" s="10" t="s">
        <v>179</v>
      </c>
      <c r="B4" s="10" t="s">
        <v>180</v>
      </c>
      <c r="C4" s="10" t="n">
        <v>950</v>
      </c>
      <c r="D4" s="10" t="n">
        <v>1080</v>
      </c>
      <c r="E4" s="15" t="n">
        <f aca="false">D4/C4</f>
        <v>1.13684210526316</v>
      </c>
      <c r="F4" s="10" t="n">
        <f aca="false">C4-D4</f>
        <v>-130</v>
      </c>
    </row>
    <row r="5" customFormat="false" ht="15" hidden="false" customHeight="true" outlineLevel="0" collapsed="false">
      <c r="A5" s="4" t="s">
        <v>181</v>
      </c>
      <c r="B5" s="4" t="s">
        <v>182</v>
      </c>
      <c r="C5" s="4" t="n">
        <v>700</v>
      </c>
      <c r="D5" s="4" t="n">
        <v>520</v>
      </c>
      <c r="E5" s="16" t="n">
        <f aca="false">D5/C5</f>
        <v>0.742857142857143</v>
      </c>
      <c r="F5" s="4" t="n">
        <f aca="false">C5-D5</f>
        <v>180</v>
      </c>
    </row>
    <row r="6" customFormat="false" ht="15" hidden="false" customHeight="true" outlineLevel="0" collapsed="false">
      <c r="A6" s="4" t="s">
        <v>183</v>
      </c>
      <c r="B6" s="4" t="s">
        <v>184</v>
      </c>
      <c r="C6" s="4" t="n">
        <v>1600</v>
      </c>
      <c r="D6" s="4" t="n">
        <v>1300</v>
      </c>
      <c r="E6" s="16" t="n">
        <f aca="false">D6/C6</f>
        <v>0.8125</v>
      </c>
      <c r="F6" s="4" t="n">
        <f aca="false">C6-D6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2026-06-07T22:58:35Z</dcterms:created>
  <dc:creator>openpyxl</dc:creator>
  <dc:description/>
  <dc:language>en-US</dc:language>
  <cp:lastModifiedBy/>
  <dcterms:modified xsi:type="dcterms:W3CDTF">2026-06-08T02:01:40Z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